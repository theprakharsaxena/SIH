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omain_Competencies" sheetId="2" state="visible" r:id="rId4"/>
    <sheet name="Roles" sheetId="3" state="visible" r:id="rId5"/>
    <sheet name="Role_Competency_Matrix" sheetId="4" state="visible" r:id="rId6"/>
    <sheet name="Evidence_Scoring_Model" sheetId="5" state="visible" r:id="rId7"/>
    <sheet name="Raw_Score_Conversion_Ru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<sst xmlns="http://schemas.openxmlformats.org/spreadsheetml/2006/main" count="444" uniqueCount="210">
  <si>
    <t xml:space="preserve">Role × Competency Matrix — v2 (real career-stage roles)</t>
  </si>
  <si>
    <t xml:space="preserve">WHAT CHANGED FROM v1</t>
  </si>
  <si>
    <t xml:space="preserve">• Roles: replaced fictional personas (Statistical Officer / Survey Statistician / Data Analyst) with real</t>
  </si>
  <si>
    <t xml:space="preserve">  ISS/SSS career-stage designations found in NSSTA's Advance Training Calendar FY 2026-27: JSO, SSO,</t>
  </si>
  <si>
    <t xml:space="preserve">  MCTP-II (15-17 yrs service), MCTP-III (18-23 yrs service).</t>
  </si>
  <si>
    <t xml:space="preserve">• Competencies: added OS-11 Time Series &amp; Applied Econometrics and OS-12 Financial Statistics — both</t>
  </si>
  <si>
    <t xml:space="preserve">  appear as distinct real training lines in the ISS Probationary curriculum, and weren't in our original 33.</t>
  </si>
  <si>
    <t xml:space="preserve">IMPORTANT SIMPLIFICATION — STATE THIS IF ASKED</t>
  </si>
  <si>
    <t xml:space="preserve">ISS (Indian Statistical Service, direct-recruit) and SSS (Subordinate Statistical Service, promotional feeder</t>
  </si>
  <si>
    <t xml:space="preserve">cadre) are two DIFFERENT service hierarchies in reality, each with their own career ladders. JSO/SSO are</t>
  </si>
  <si>
    <t xml:space="preserve">SSS grades; MCTP-II/MCTP-III are ISS career milestones. We have combined them into a single illustrative</t>
  </si>
  <si>
    <t xml:space="preserve">4-stage progression (junior field-level → senior field-level → ISS mid-career → ISS senior) for MVP scope</t>
  </si>
  <si>
    <t xml:space="preserve">control. This is a deliberate simplification, not an official unified cadre structure — label it as such.</t>
  </si>
  <si>
    <t xml:space="preserve">COMPETITIVE POSITIONING — CARRY THIS INTO THE PITCH</t>
  </si>
  <si>
    <t xml:space="preserve">Karmayogi Bharat's AI-CBP tool (national, live since ~early 2026) already does role/document-based</t>
  </si>
  <si>
    <t xml:space="preserve">competency mapping, gap analysis, and course recommendation at a GOVERNMENT-WIDE level. Do not pitch</t>
  </si>
  <si>
    <t xml:space="preserve">this project as inventing that. Our differentiation:</t>
  </si>
  <si>
    <t xml:space="preserve">  1. Official Statistics DOMAIN depth (AI-CBP is generic across all cadres/ministries)</t>
  </si>
  <si>
    <t xml:space="preserve">  2. An auditable, weighted EVIDENCE-SCORING formula (vs. an undocumented mapping process)</t>
  </si>
  <si>
    <t xml:space="preserve">  3. Closed loop: AI-generated, source-grounded assessment from uploaded material feeds back into the</t>
  </si>
  <si>
    <t xml:space="preserve">     competency score — not described in AI-CBP's public feature list</t>
  </si>
  <si>
    <t xml:space="preserve">  4. Unifies iGOT (self-paced) with NSSTA/TPAC's instructor-led calendar, which are confirmed to run on</t>
  </si>
  <si>
    <t xml:space="preserve">     separate enrollment systems (iGOT self-service vs. NSSTA e-HRMS nomination)</t>
  </si>
  <si>
    <t xml:space="preserve">STATUS LABELS</t>
  </si>
  <si>
    <t xml:space="preserve">✓ Real designation — JSO/SSO/MCTP-II/MCTP-III names and service-year bands are from NSSTA's own</t>
  </si>
  <si>
    <t xml:space="preserve">  FY 2026-27 calendar, not invented.</t>
  </si>
  <si>
    <t xml:space="preserve">⚠ Required levels (1–5 per cell) — still domain-judgment estimates for the MVP. Not officially sourced.</t>
  </si>
  <si>
    <t xml:space="preserve">✓ OS-11 and OS-12 — competency existence confirmed by real curriculum; required-level numbers are</t>
  </si>
  <si>
    <t xml:space="preserve">  still prototype estimates.</t>
  </si>
  <si>
    <t xml:space="preserve">ID</t>
  </si>
  <si>
    <t xml:space="preserve">Domain</t>
  </si>
  <si>
    <t xml:space="preserve">Competency</t>
  </si>
  <si>
    <t xml:space="preserve">PS-Mandated?</t>
  </si>
  <si>
    <t xml:space="preserve">KCM Mapping (if any)</t>
  </si>
  <si>
    <t xml:space="preserve">Notes / Source Status</t>
  </si>
  <si>
    <t xml:space="preserve">OS-01</t>
  </si>
  <si>
    <t xml:space="preserve">Statistical</t>
  </si>
  <si>
    <t xml:space="preserve">Survey Design</t>
  </si>
  <si>
    <t xml:space="preserve">Yes</t>
  </si>
  <si>
    <t xml:space="preserve">PS-mandated</t>
  </si>
  <si>
    <t xml:space="preserve">OS-02</t>
  </si>
  <si>
    <t xml:space="preserve">Sampling</t>
  </si>
  <si>
    <t xml:space="preserve">OS-03</t>
  </si>
  <si>
    <t xml:space="preserve">National Accounts</t>
  </si>
  <si>
    <t xml:space="preserve">OS-04</t>
  </si>
  <si>
    <t xml:space="preserve">Price Statistics</t>
  </si>
  <si>
    <t xml:space="preserve">OS-05</t>
  </si>
  <si>
    <t xml:space="preserve">Labour Statistics</t>
  </si>
  <si>
    <t xml:space="preserve">OS-06</t>
  </si>
  <si>
    <t xml:space="preserve">Agricultural Statistics</t>
  </si>
  <si>
    <t xml:space="preserve">OS-07</t>
  </si>
  <si>
    <t xml:space="preserve">Industrial Statistics</t>
  </si>
  <si>
    <t xml:space="preserve">OS-08</t>
  </si>
  <si>
    <t xml:space="preserve">SDG Indicators</t>
  </si>
  <si>
    <t xml:space="preserve">OS-09</t>
  </si>
  <si>
    <t xml:space="preserve">Metadata Standards</t>
  </si>
  <si>
    <t xml:space="preserve">PS-mandated; cross-check vs MoSPI NMDS/CMMI later</t>
  </si>
  <si>
    <t xml:space="preserve">OS-10</t>
  </si>
  <si>
    <t xml:space="preserve">Data Quality Frameworks</t>
  </si>
  <si>
    <t xml:space="preserve">PS-mandated; cross-check vs MoSPI SQAF later</t>
  </si>
  <si>
    <t xml:space="preserve">OS-11</t>
  </si>
  <si>
    <t xml:space="preserve">Time Series &amp; Applied Econometrics</t>
  </si>
  <si>
    <t xml:space="preserve">No</t>
  </si>
  <si>
    <t xml:space="preserve">NEW — confirmed real training line, ISS Probationary curriculum (NSSTA FY26-27 calendar, via ISEC Bengaluru)</t>
  </si>
  <si>
    <t xml:space="preserve">OS-12</t>
  </si>
  <si>
    <t xml:space="preserve">Financial Statistics</t>
  </si>
  <si>
    <t xml:space="preserve">NEW — confirmed real training line, ISS Probationary curriculum (NSSTA FY26-27 calendar, via NIBM Pune)</t>
  </si>
  <si>
    <t xml:space="preserve">TC-01</t>
  </si>
  <si>
    <t xml:space="preserve">Technical</t>
  </si>
  <si>
    <t xml:space="preserve">Python</t>
  </si>
  <si>
    <t xml:space="preserve">PS-mandated; also appears in real ISS curriculum (ISI Delhi, MCTP-I)</t>
  </si>
  <si>
    <t xml:space="preserve">TC-02</t>
  </si>
  <si>
    <t xml:space="preserve">R</t>
  </si>
  <si>
    <t xml:space="preserve">PS-mandated; also appears in real ISS curriculum (IASRI Delhi)</t>
  </si>
  <si>
    <t xml:space="preserve">TC-03</t>
  </si>
  <si>
    <t xml:space="preserve">SQL</t>
  </si>
  <si>
    <t xml:space="preserve">TC-04</t>
  </si>
  <si>
    <t xml:space="preserve">Stata</t>
  </si>
  <si>
    <t xml:space="preserve">TC-05</t>
  </si>
  <si>
    <t xml:space="preserve">SPSS</t>
  </si>
  <si>
    <t xml:space="preserve">TC-06</t>
  </si>
  <si>
    <t xml:space="preserve">SAS</t>
  </si>
  <si>
    <t xml:space="preserve">TC-07</t>
  </si>
  <si>
    <t xml:space="preserve">GIS</t>
  </si>
  <si>
    <t xml:space="preserve">PS-mandated; real curriculum ref: IIRS Dehradun, remote sensing modules</t>
  </si>
  <si>
    <t xml:space="preserve">TC-08</t>
  </si>
  <si>
    <t xml:space="preserve">Data Visualization</t>
  </si>
  <si>
    <t xml:space="preserve">TC-09</t>
  </si>
  <si>
    <t xml:space="preserve">AI/ML</t>
  </si>
  <si>
    <t xml:space="preserve">PS-mandated; real curriculum ref: IIT AI-ready-data module, IIM Mumbai AI/ML in Governance</t>
  </si>
  <si>
    <t xml:space="preserve">TC-10</t>
  </si>
  <si>
    <t xml:space="preserve">Cloud Computing</t>
  </si>
  <si>
    <t xml:space="preserve">TC-11</t>
  </si>
  <si>
    <t xml:space="preserve">APIs</t>
  </si>
  <si>
    <t xml:space="preserve">TC-12</t>
  </si>
  <si>
    <t xml:space="preserve">Open Data</t>
  </si>
  <si>
    <t xml:space="preserve">DG-01</t>
  </si>
  <si>
    <t xml:space="preserve">Digital Governance</t>
  </si>
  <si>
    <t xml:space="preserve">Cybersecurity</t>
  </si>
  <si>
    <t xml:space="preserve">DG-02</t>
  </si>
  <si>
    <t xml:space="preserve">Data Privacy</t>
  </si>
  <si>
    <t xml:space="preserve">PS-mandated; real ref: DPDP Act module in ISS Probationary curriculum</t>
  </si>
  <si>
    <t xml:space="preserve">DG-03</t>
  </si>
  <si>
    <t xml:space="preserve">Digital Signatures</t>
  </si>
  <si>
    <t xml:space="preserve">DG-04</t>
  </si>
  <si>
    <t xml:space="preserve">Government Cloud</t>
  </si>
  <si>
    <t xml:space="preserve">DG-05</t>
  </si>
  <si>
    <t xml:space="preserve">Digital Public Infrastructure</t>
  </si>
  <si>
    <t xml:space="preserve">BM-01</t>
  </si>
  <si>
    <t xml:space="preserve">Behavioural &amp; Managerial</t>
  </si>
  <si>
    <t xml:space="preserve">Leadership</t>
  </si>
  <si>
    <t xml:space="preserve">B10/B11/B12 (Strategic/Collaborative/Team Leadership)</t>
  </si>
  <si>
    <t xml:space="preserve">Do not duplicate — reference KCM</t>
  </si>
  <si>
    <t xml:space="preserve">BM-02</t>
  </si>
  <si>
    <t xml:space="preserve">Communication</t>
  </si>
  <si>
    <t xml:space="preserve">B04 (Communication)</t>
  </si>
  <si>
    <t xml:space="preserve">BM-03</t>
  </si>
  <si>
    <t xml:space="preserve">Project Management</t>
  </si>
  <si>
    <t xml:space="preserve">F05 (Project Management)</t>
  </si>
  <si>
    <t xml:space="preserve">Do not duplicate — reference KCM; real ref: MCTP Project Mgmt modules</t>
  </si>
  <si>
    <t xml:space="preserve">BM-04</t>
  </si>
  <si>
    <t xml:space="preserve">Ethics</t>
  </si>
  <si>
    <t xml:space="preserve">No direct KCM match found</t>
  </si>
  <si>
    <t xml:space="preserve">Real ref: 'Ethics and Integrity in Public Service' — confirmed real training line (ICCG Panchagani, ASCI)</t>
  </si>
  <si>
    <t xml:space="preserve">BM-05</t>
  </si>
  <si>
    <t xml:space="preserve">Decision Making</t>
  </si>
  <si>
    <t xml:space="preserve">B13 (Decision Making)</t>
  </si>
  <si>
    <t xml:space="preserve">BM-06</t>
  </si>
  <si>
    <t xml:space="preserve">Change Management</t>
  </si>
  <si>
    <t xml:space="preserve">F20 (Change Management)</t>
  </si>
  <si>
    <t xml:space="preserve">Role Code</t>
  </si>
  <si>
    <t xml:space="preserve">Role Name</t>
  </si>
  <si>
    <t xml:space="preserve">Service / Stage</t>
  </si>
  <si>
    <t xml:space="preserve">Primary Activities</t>
  </si>
  <si>
    <t xml:space="preserve">Source</t>
  </si>
  <si>
    <t xml:space="preserve">JSO</t>
  </si>
  <si>
    <t xml:space="preserve">Junior Statistical Officer</t>
  </si>
  <si>
    <t xml:space="preserve">SSS, entry/junior grade</t>
  </si>
  <si>
    <t xml:space="preserve">Field data collection, unit-level survey work, basic data entry/validation, close supervision.</t>
  </si>
  <si>
    <t xml:space="preserve">NSSTA Advance Training Calendar FY26-27 — JSO Induction Training track</t>
  </si>
  <si>
    <t xml:space="preserve">SSO</t>
  </si>
  <si>
    <t xml:space="preserve">Senior Statistical Officer</t>
  </si>
  <si>
    <t xml:space="preserve">SSS, promoted grade</t>
  </si>
  <si>
    <t xml:space="preserve">Survey supervision, data processing and consolidation, first-level quality checks, some team coordination.</t>
  </si>
  <si>
    <t xml:space="preserve">NSSTA Advance Training Calendar FY26-27 — SSO Orientation/Refresher track</t>
  </si>
  <si>
    <t xml:space="preserve">MCTP-II</t>
  </si>
  <si>
    <t xml:space="preserve">Mid-Career ISS Officer (15–17 yrs)</t>
  </si>
  <si>
    <t xml:space="preserve">ISS, MCTP-2 milestone</t>
  </si>
  <si>
    <t xml:space="preserve">Programme/project design and evaluation, statistical production oversight, advanced management responsibility, heavier data-driven decision-making role.</t>
  </si>
  <si>
    <t xml:space="preserve">NSSTA Advance Training Calendar FY26-27 — MCTP-2 (Component 1&amp;2)</t>
  </si>
  <si>
    <t xml:space="preserve">MCTP-III</t>
  </si>
  <si>
    <t xml:space="preserve">Senior ISS Officer (18–23 yrs)</t>
  </si>
  <si>
    <t xml:space="preserve">ISS, MCTP-III milestone</t>
  </si>
  <si>
    <t xml:space="preserve">Strategic/policy oversight, senior leadership, cross-departmental coordination, managing large statistical/ICT programmes.</t>
  </si>
  <si>
    <t xml:space="preserve">NSSTA Advance Training Calendar FY26-27 — MCTP-III (Managing ICT Projects)</t>
  </si>
  <si>
    <t xml:space="preserve">NOTE: JSO/SSO (SSS cadre) and MCTP-II/III (ISS cadre) are two different real service hierarchies, combined here into one illustrative junior→senior progression for MVP scope. See Instructions tab.</t>
  </si>
  <si>
    <t xml:space="preserve">JSO (Req. Level 1-5)</t>
  </si>
  <si>
    <t xml:space="preserve">SSO (Req. Level 1-5)</t>
  </si>
  <si>
    <t xml:space="preserve">MCTP-II (Req. Level 1-5)</t>
  </si>
  <si>
    <t xml:space="preserve">MCTP-III (Req. Level 1-5)</t>
  </si>
  <si>
    <t xml:space="preserve">Avg Requirement</t>
  </si>
  <si>
    <t xml:space="preserve">Max Requirement</t>
  </si>
  <si>
    <t xml:space="preserve">Roles Requiring Level ≥4</t>
  </si>
  <si>
    <t xml:space="preserve">Status</t>
  </si>
  <si>
    <t xml:space="preserve">Prototype level — verify with domain expert</t>
  </si>
  <si>
    <t xml:space="preserve">LEVEL SCALE (1-5)</t>
  </si>
  <si>
    <t xml:space="preserve">Yellow cells = editable inputs. All other columns are formulas — do not hardcode.</t>
  </si>
  <si>
    <t xml:space="preserve">1 = Awareness</t>
  </si>
  <si>
    <t xml:space="preserve">2 = Basic</t>
  </si>
  <si>
    <t xml:space="preserve">3 = Working proficiency</t>
  </si>
  <si>
    <t xml:space="preserve">4 = Advanced</t>
  </si>
  <si>
    <t xml:space="preserve">5 = Expert</t>
  </si>
  <si>
    <t xml:space="preserve">Evidence-Based Competency Scoring Model</t>
  </si>
  <si>
    <t xml:space="preserve">FORMULA</t>
  </si>
  <si>
    <t xml:space="preserve">Current Competency Score = (Education × W1) + (Experience × W2) + (Prior Training × W3) + (Profile/Self-report × W4) + (Assessment × W5)</t>
  </si>
  <si>
    <t xml:space="preserve">WEIGHTS (prototype defaults — tune later, must sum to 1.0)</t>
  </si>
  <si>
    <t xml:space="preserve">Evidence Source</t>
  </si>
  <si>
    <t xml:space="preserve">Weight</t>
  </si>
  <si>
    <t xml:space="preserve">Score Range Contributed</t>
  </si>
  <si>
    <t xml:space="preserve">Notes</t>
  </si>
  <si>
    <t xml:space="preserve">Assessment (diagnostic/post-course test)</t>
  </si>
  <si>
    <t xml:space="preserve">0–5</t>
  </si>
  <si>
    <t xml:space="preserve">Most objective signal — highest weight</t>
  </si>
  <si>
    <t xml:space="preserve">Work Experience (years × relevance)</t>
  </si>
  <si>
    <t xml:space="preserve">Relevance-adjusted, not just tenure</t>
  </si>
  <si>
    <t xml:space="preserve">Prior Training (iGOT/NSSTA completions)</t>
  </si>
  <si>
    <t xml:space="preserve">Completion alone ≠ mastery</t>
  </si>
  <si>
    <t xml:space="preserve">Education (degree/field match)</t>
  </si>
  <si>
    <t xml:space="preserve">One-time signal</t>
  </si>
  <si>
    <t xml:space="preserve">Self-report / Profile declaration</t>
  </si>
  <si>
    <t xml:space="preserve">Lowest weight — least objective</t>
  </si>
  <si>
    <t xml:space="preserve">TOTAL</t>
  </si>
  <si>
    <t xml:space="preserve">WORKED EXAMPLE — Python, Official A</t>
  </si>
  <si>
    <t xml:space="preserve">Raw Score (0-5)</t>
  </si>
  <si>
    <t xml:space="preserve">Weighted Contribution</t>
  </si>
  <si>
    <t xml:space="preserve">Assessment (diagnostic test: 68%)</t>
  </si>
  <si>
    <t xml:space="preserve">Work Experience (2 yrs, high relevance)</t>
  </si>
  <si>
    <t xml:space="preserve">Prior Training (iGOT Python Basics, completed)</t>
  </si>
  <si>
    <t xml:space="preserve">Education (B.Sc Statistics, not CS)</t>
  </si>
  <si>
    <t xml:space="preserve">Self-report ("comfortable with Python")</t>
  </si>
  <si>
    <t xml:space="preserve">Resulting Competency Score</t>
  </si>
  <si>
    <t xml:space="preserve">Category bands: Gap = 0 → A (no/minimal gap) · Gap 0–1.5 → B (slight gap) · Gap &gt; 1.5 → C (considerable gap).</t>
  </si>
  <si>
    <t xml:space="preserve">Raw Score Conversion Rules (0–5)</t>
  </si>
  <si>
    <t xml:space="preserve">Deterministic rules — no LLM judgment call. The LLM extracts raw facts only; these tables convert facts → score.</t>
  </si>
  <si>
    <t xml:space="preserve">A. ASSESSMENT SCORE (weight 0.30): Raw Score = Test % ÷ 20</t>
  </si>
  <si>
    <t xml:space="preserve">B. WORK EXPERIENCE (weight 0.25): Years-Score (1–5 by band: 0-1/1-3/3-6/6-10/10+) × Relevance Factor (Direct=1.0, Adjacent=0.6, Tangential=0.3, Unrelated=0), capped at 5.</t>
  </si>
  <si>
    <t xml:space="preserve">C. PRIOR TRAINING (weight 0.20): MAX across relevant completed courses. No course=0; completed/no assessment=2; Beginner+passed=3; Intermediate+passed=4; Advanced+passed=5.</t>
  </si>
  <si>
    <t xml:space="preserve">D. EDUCATION (weight 0.15): 1=unrelated, 2=unrelated+relevant coursework, 3=adjacent field bachelor's, 4=direct field bachelor's, 5=direct field master's/PhD.</t>
  </si>
  <si>
    <t xml:space="preserve">E. SELF-REPORT (weight 0.10): direct 1–5 pass-through, no conversion.</t>
  </si>
  <si>
    <t xml:space="preserve">Full worked tables (years-band lookup, relevance-factor lookup) are in v1 of this workbook — carried forward unchanged; only Roles and Domain_Competencies changed in this version.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</si>
</sst>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23.8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</row>
    <row r="2" customFormat="false" ht="15" hidden="false" customHeight="false" outlineLevel="0" collapsed="false">
      <c r="A2" s="5" t="s">
        <v>35</v>
      </c>
      <c r="B2" s="5" t="s">
        <v>36</v>
      </c>
      <c r="C2" s="5" t="s">
        <v>37</v>
      </c>
      <c r="D2" s="5" t="s">
        <v>38</v>
      </c>
      <c r="E2" s="5"/>
      <c r="F2" s="5" t="s">
        <v>39</v>
      </c>
    </row>
    <row r="3" customFormat="false" ht="15" hidden="false" customHeight="false" outlineLevel="0" collapsed="false">
      <c r="A3" s="5" t="s">
        <v>40</v>
      </c>
      <c r="B3" s="5" t="s">
        <v>36</v>
      </c>
      <c r="C3" s="5" t="s">
        <v>41</v>
      </c>
      <c r="D3" s="5" t="s">
        <v>38</v>
      </c>
      <c r="E3" s="5"/>
      <c r="F3" s="5" t="s">
        <v>39</v>
      </c>
    </row>
    <row r="4" customFormat="false" ht="15" hidden="false" customHeight="false" outlineLevel="0" collapsed="false">
      <c r="A4" s="5" t="s">
        <v>42</v>
      </c>
      <c r="B4" s="5" t="s">
        <v>36</v>
      </c>
      <c r="C4" s="5" t="s">
        <v>43</v>
      </c>
      <c r="D4" s="5" t="s">
        <v>38</v>
      </c>
      <c r="E4" s="5"/>
      <c r="F4" s="5" t="s">
        <v>39</v>
      </c>
    </row>
    <row r="5" customFormat="false" ht="15" hidden="false" customHeight="false" outlineLevel="0" collapsed="false">
      <c r="A5" s="5" t="s">
        <v>44</v>
      </c>
      <c r="B5" s="5" t="s">
        <v>36</v>
      </c>
      <c r="C5" s="5" t="s">
        <v>45</v>
      </c>
      <c r="D5" s="5" t="s">
        <v>38</v>
      </c>
      <c r="E5" s="5"/>
      <c r="F5" s="5" t="s">
        <v>39</v>
      </c>
    </row>
    <row r="6" customFormat="false" ht="15" hidden="false" customHeight="false" outlineLevel="0" collapsed="false">
      <c r="A6" s="5" t="s">
        <v>46</v>
      </c>
      <c r="B6" s="5" t="s">
        <v>36</v>
      </c>
      <c r="C6" s="5" t="s">
        <v>47</v>
      </c>
      <c r="D6" s="5" t="s">
        <v>38</v>
      </c>
      <c r="E6" s="5"/>
      <c r="F6" s="5" t="s">
        <v>39</v>
      </c>
    </row>
    <row r="7" customFormat="false" ht="15" hidden="false" customHeight="false" outlineLevel="0" collapsed="false">
      <c r="A7" s="5" t="s">
        <v>48</v>
      </c>
      <c r="B7" s="5" t="s">
        <v>36</v>
      </c>
      <c r="C7" s="5" t="s">
        <v>49</v>
      </c>
      <c r="D7" s="5" t="s">
        <v>38</v>
      </c>
      <c r="E7" s="5"/>
      <c r="F7" s="5" t="s">
        <v>39</v>
      </c>
    </row>
    <row r="8" customFormat="false" ht="15" hidden="false" customHeight="false" outlineLevel="0" collapsed="false">
      <c r="A8" s="5" t="s">
        <v>50</v>
      </c>
      <c r="B8" s="5" t="s">
        <v>36</v>
      </c>
      <c r="C8" s="5" t="s">
        <v>51</v>
      </c>
      <c r="D8" s="5" t="s">
        <v>38</v>
      </c>
      <c r="E8" s="5"/>
      <c r="F8" s="5" t="s">
        <v>39</v>
      </c>
    </row>
    <row r="9" customFormat="false" ht="15" hidden="false" customHeight="false" outlineLevel="0" collapsed="false">
      <c r="A9" s="5" t="s">
        <v>52</v>
      </c>
      <c r="B9" s="5" t="s">
        <v>36</v>
      </c>
      <c r="C9" s="5" t="s">
        <v>53</v>
      </c>
      <c r="D9" s="5" t="s">
        <v>38</v>
      </c>
      <c r="E9" s="5"/>
      <c r="F9" s="5" t="s">
        <v>39</v>
      </c>
    </row>
    <row r="10" customFormat="false" ht="15" hidden="false" customHeight="false" outlineLevel="0" collapsed="false">
      <c r="A10" s="5" t="s">
        <v>54</v>
      </c>
      <c r="B10" s="5" t="s">
        <v>36</v>
      </c>
      <c r="C10" s="5" t="s">
        <v>55</v>
      </c>
      <c r="D10" s="5" t="s">
        <v>38</v>
      </c>
      <c r="E10" s="5"/>
      <c r="F10" s="5" t="s">
        <v>56</v>
      </c>
    </row>
    <row r="11" customFormat="false" ht="15" hidden="false" customHeight="false" outlineLevel="0" collapsed="false">
      <c r="A11" s="5" t="s">
        <v>57</v>
      </c>
      <c r="B11" s="5" t="s">
        <v>36</v>
      </c>
      <c r="C11" s="5" t="s">
        <v>58</v>
      </c>
      <c r="D11" s="5" t="s">
        <v>38</v>
      </c>
      <c r="E11" s="5"/>
      <c r="F11" s="5" t="s">
        <v>59</v>
      </c>
    </row>
    <row r="12" customFormat="false" ht="23.85" hidden="false" customHeight="false" outlineLevel="0" collapsed="false">
      <c r="A12" s="5" t="s">
        <v>60</v>
      </c>
      <c r="B12" s="5" t="s">
        <v>36</v>
      </c>
      <c r="C12" s="5" t="s">
        <v>61</v>
      </c>
      <c r="D12" s="5" t="s">
        <v>62</v>
      </c>
      <c r="E12" s="5"/>
      <c r="F12" s="5" t="s">
        <v>63</v>
      </c>
    </row>
    <row r="13" customFormat="false" ht="23.85" hidden="false" customHeight="false" outlineLevel="0" collapsed="false">
      <c r="A13" s="5" t="s">
        <v>64</v>
      </c>
      <c r="B13" s="5" t="s">
        <v>36</v>
      </c>
      <c r="C13" s="5" t="s">
        <v>65</v>
      </c>
      <c r="D13" s="5" t="s">
        <v>62</v>
      </c>
      <c r="E13" s="5"/>
      <c r="F13" s="5" t="s">
        <v>66</v>
      </c>
    </row>
    <row r="14" customFormat="false" ht="23.85" hidden="false" customHeight="false" outlineLevel="0" collapsed="false">
      <c r="A14" s="5" t="s">
        <v>67</v>
      </c>
      <c r="B14" s="5" t="s">
        <v>68</v>
      </c>
      <c r="C14" s="5" t="s">
        <v>69</v>
      </c>
      <c r="D14" s="5" t="s">
        <v>38</v>
      </c>
      <c r="E14" s="5"/>
      <c r="F14" s="5" t="s">
        <v>70</v>
      </c>
    </row>
    <row r="15" customFormat="false" ht="15" hidden="false" customHeight="false" outlineLevel="0" collapsed="false">
      <c r="A15" s="5" t="s">
        <v>71</v>
      </c>
      <c r="B15" s="5" t="s">
        <v>68</v>
      </c>
      <c r="C15" s="5" t="s">
        <v>72</v>
      </c>
      <c r="D15" s="5" t="s">
        <v>38</v>
      </c>
      <c r="E15" s="5"/>
      <c r="F15" s="5" t="s">
        <v>73</v>
      </c>
    </row>
    <row r="16" customFormat="false" ht="15" hidden="false" customHeight="false" outlineLevel="0" collapsed="false">
      <c r="A16" s="5" t="s">
        <v>74</v>
      </c>
      <c r="B16" s="5" t="s">
        <v>68</v>
      </c>
      <c r="C16" s="5" t="s">
        <v>75</v>
      </c>
      <c r="D16" s="5" t="s">
        <v>38</v>
      </c>
      <c r="E16" s="5"/>
      <c r="F16" s="5" t="s">
        <v>39</v>
      </c>
    </row>
    <row r="17" customFormat="false" ht="15" hidden="false" customHeight="false" outlineLevel="0" collapsed="false">
      <c r="A17" s="5" t="s">
        <v>76</v>
      </c>
      <c r="B17" s="5" t="s">
        <v>68</v>
      </c>
      <c r="C17" s="5" t="s">
        <v>77</v>
      </c>
      <c r="D17" s="5" t="s">
        <v>38</v>
      </c>
      <c r="E17" s="5"/>
      <c r="F17" s="5" t="s">
        <v>39</v>
      </c>
    </row>
    <row r="18" customFormat="false" ht="15" hidden="false" customHeight="false" outlineLevel="0" collapsed="false">
      <c r="A18" s="5" t="s">
        <v>78</v>
      </c>
      <c r="B18" s="5" t="s">
        <v>68</v>
      </c>
      <c r="C18" s="5" t="s">
        <v>79</v>
      </c>
      <c r="D18" s="5" t="s">
        <v>38</v>
      </c>
      <c r="E18" s="5"/>
      <c r="F18" s="5" t="s">
        <v>39</v>
      </c>
    </row>
    <row r="19" customFormat="false" ht="15" hidden="false" customHeight="false" outlineLevel="0" collapsed="false">
      <c r="A19" s="5" t="s">
        <v>80</v>
      </c>
      <c r="B19" s="5" t="s">
        <v>68</v>
      </c>
      <c r="C19" s="5" t="s">
        <v>81</v>
      </c>
      <c r="D19" s="5" t="s">
        <v>38</v>
      </c>
      <c r="E19" s="5"/>
      <c r="F19" s="5" t="s">
        <v>39</v>
      </c>
    </row>
    <row r="20" customFormat="false" ht="23.85" hidden="false" customHeight="false" outlineLevel="0" collapsed="false">
      <c r="A20" s="5" t="s">
        <v>82</v>
      </c>
      <c r="B20" s="5" t="s">
        <v>68</v>
      </c>
      <c r="C20" s="5" t="s">
        <v>83</v>
      </c>
      <c r="D20" s="5" t="s">
        <v>38</v>
      </c>
      <c r="E20" s="5"/>
      <c r="F20" s="5" t="s">
        <v>84</v>
      </c>
    </row>
    <row r="21" customFormat="false" ht="15" hidden="false" customHeight="false" outlineLevel="0" collapsed="false">
      <c r="A21" s="5" t="s">
        <v>85</v>
      </c>
      <c r="B21" s="5" t="s">
        <v>68</v>
      </c>
      <c r="C21" s="5" t="s">
        <v>86</v>
      </c>
      <c r="D21" s="5" t="s">
        <v>38</v>
      </c>
      <c r="E21" s="5"/>
      <c r="F21" s="5" t="s">
        <v>39</v>
      </c>
    </row>
    <row r="22" customFormat="false" ht="23.85" hidden="false" customHeight="false" outlineLevel="0" collapsed="false">
      <c r="A22" s="5" t="s">
        <v>87</v>
      </c>
      <c r="B22" s="5" t="s">
        <v>68</v>
      </c>
      <c r="C22" s="5" t="s">
        <v>88</v>
      </c>
      <c r="D22" s="5" t="s">
        <v>38</v>
      </c>
      <c r="E22" s="5"/>
      <c r="F22" s="5" t="s">
        <v>89</v>
      </c>
    </row>
    <row r="23" customFormat="false" ht="15" hidden="false" customHeight="false" outlineLevel="0" collapsed="false">
      <c r="A23" s="5" t="s">
        <v>90</v>
      </c>
      <c r="B23" s="5" t="s">
        <v>68</v>
      </c>
      <c r="C23" s="5" t="s">
        <v>91</v>
      </c>
      <c r="D23" s="5" t="s">
        <v>38</v>
      </c>
      <c r="E23" s="5"/>
      <c r="F23" s="5" t="s">
        <v>39</v>
      </c>
    </row>
    <row r="24" customFormat="false" ht="15" hidden="false" customHeight="false" outlineLevel="0" collapsed="false">
      <c r="A24" s="5" t="s">
        <v>92</v>
      </c>
      <c r="B24" s="5" t="s">
        <v>68</v>
      </c>
      <c r="C24" s="5" t="s">
        <v>93</v>
      </c>
      <c r="D24" s="5" t="s">
        <v>38</v>
      </c>
      <c r="E24" s="5"/>
      <c r="F24" s="5" t="s">
        <v>39</v>
      </c>
    </row>
    <row r="25" customFormat="false" ht="15" hidden="false" customHeight="false" outlineLevel="0" collapsed="false">
      <c r="A25" s="5" t="s">
        <v>94</v>
      </c>
      <c r="B25" s="5" t="s">
        <v>68</v>
      </c>
      <c r="C25" s="5" t="s">
        <v>95</v>
      </c>
      <c r="D25" s="5" t="s">
        <v>38</v>
      </c>
      <c r="E25" s="5"/>
      <c r="F25" s="5" t="s">
        <v>39</v>
      </c>
    </row>
    <row r="26" customFormat="false" ht="15" hidden="false" customHeight="false" outlineLevel="0" collapsed="false">
      <c r="A26" s="5" t="s">
        <v>96</v>
      </c>
      <c r="B26" s="5" t="s">
        <v>97</v>
      </c>
      <c r="C26" s="5" t="s">
        <v>98</v>
      </c>
      <c r="D26" s="5" t="s">
        <v>38</v>
      </c>
      <c r="E26" s="5"/>
      <c r="F26" s="5" t="s">
        <v>39</v>
      </c>
    </row>
    <row r="27" customFormat="false" ht="23.85" hidden="false" customHeight="false" outlineLevel="0" collapsed="false">
      <c r="A27" s="5" t="s">
        <v>99</v>
      </c>
      <c r="B27" s="5" t="s">
        <v>97</v>
      </c>
      <c r="C27" s="5" t="s">
        <v>100</v>
      </c>
      <c r="D27" s="5" t="s">
        <v>38</v>
      </c>
      <c r="E27" s="5"/>
      <c r="F27" s="5" t="s">
        <v>101</v>
      </c>
    </row>
    <row r="28" customFormat="false" ht="15" hidden="false" customHeight="false" outlineLevel="0" collapsed="false">
      <c r="A28" s="5" t="s">
        <v>102</v>
      </c>
      <c r="B28" s="5" t="s">
        <v>97</v>
      </c>
      <c r="C28" s="5" t="s">
        <v>103</v>
      </c>
      <c r="D28" s="5" t="s">
        <v>38</v>
      </c>
      <c r="E28" s="5"/>
      <c r="F28" s="5" t="s">
        <v>39</v>
      </c>
    </row>
    <row r="29" customFormat="false" ht="15" hidden="false" customHeight="false" outlineLevel="0" collapsed="false">
      <c r="A29" s="5" t="s">
        <v>104</v>
      </c>
      <c r="B29" s="5" t="s">
        <v>97</v>
      </c>
      <c r="C29" s="5" t="s">
        <v>105</v>
      </c>
      <c r="D29" s="5" t="s">
        <v>38</v>
      </c>
      <c r="E29" s="5"/>
      <c r="F29" s="5" t="s">
        <v>39</v>
      </c>
    </row>
    <row r="30" customFormat="false" ht="15" hidden="false" customHeight="false" outlineLevel="0" collapsed="false">
      <c r="A30" s="5" t="s">
        <v>106</v>
      </c>
      <c r="B30" s="5" t="s">
        <v>97</v>
      </c>
      <c r="C30" s="5" t="s">
        <v>107</v>
      </c>
      <c r="D30" s="5" t="s">
        <v>38</v>
      </c>
      <c r="E30" s="5"/>
      <c r="F30" s="5" t="s">
        <v>39</v>
      </c>
    </row>
    <row r="31" customFormat="false" ht="23.85" hidden="false" customHeight="false" outlineLevel="0" collapsed="false">
      <c r="A31" s="5" t="s">
        <v>108</v>
      </c>
      <c r="B31" s="5" t="s">
        <v>109</v>
      </c>
      <c r="C31" s="5" t="s">
        <v>110</v>
      </c>
      <c r="D31" s="5" t="s">
        <v>38</v>
      </c>
      <c r="E31" s="5" t="s">
        <v>111</v>
      </c>
      <c r="F31" s="5" t="s">
        <v>112</v>
      </c>
    </row>
    <row r="32" customFormat="false" ht="15" hidden="false" customHeight="false" outlineLevel="0" collapsed="false">
      <c r="A32" s="5" t="s">
        <v>113</v>
      </c>
      <c r="B32" s="5" t="s">
        <v>109</v>
      </c>
      <c r="C32" s="5" t="s">
        <v>114</v>
      </c>
      <c r="D32" s="5" t="s">
        <v>38</v>
      </c>
      <c r="E32" s="5" t="s">
        <v>115</v>
      </c>
      <c r="F32" s="5" t="s">
        <v>112</v>
      </c>
    </row>
    <row r="33" customFormat="false" ht="23.85" hidden="false" customHeight="false" outlineLevel="0" collapsed="false">
      <c r="A33" s="5" t="s">
        <v>116</v>
      </c>
      <c r="B33" s="5" t="s">
        <v>109</v>
      </c>
      <c r="C33" s="5" t="s">
        <v>117</v>
      </c>
      <c r="D33" s="5" t="s">
        <v>38</v>
      </c>
      <c r="E33" s="5" t="s">
        <v>118</v>
      </c>
      <c r="F33" s="5" t="s">
        <v>119</v>
      </c>
    </row>
    <row r="34" customFormat="false" ht="23.85" hidden="false" customHeight="false" outlineLevel="0" collapsed="false">
      <c r="A34" s="5" t="s">
        <v>120</v>
      </c>
      <c r="B34" s="5" t="s">
        <v>109</v>
      </c>
      <c r="C34" s="5" t="s">
        <v>121</v>
      </c>
      <c r="D34" s="5" t="s">
        <v>38</v>
      </c>
      <c r="E34" s="5" t="s">
        <v>122</v>
      </c>
      <c r="F34" s="5" t="s">
        <v>123</v>
      </c>
    </row>
    <row r="35" customFormat="false" ht="15" hidden="false" customHeight="false" outlineLevel="0" collapsed="false">
      <c r="A35" s="5" t="s">
        <v>124</v>
      </c>
      <c r="B35" s="5" t="s">
        <v>109</v>
      </c>
      <c r="C35" s="5" t="s">
        <v>125</v>
      </c>
      <c r="D35" s="5" t="s">
        <v>38</v>
      </c>
      <c r="E35" s="5" t="s">
        <v>126</v>
      </c>
      <c r="F35" s="5" t="s">
        <v>112</v>
      </c>
    </row>
    <row r="36" customFormat="false" ht="15" hidden="false" customHeight="false" outlineLevel="0" collapsed="false">
      <c r="A36" s="5" t="s">
        <v>127</v>
      </c>
      <c r="B36" s="5" t="s">
        <v>109</v>
      </c>
      <c r="C36" s="5" t="s">
        <v>128</v>
      </c>
      <c r="D36" s="5" t="s">
        <v>38</v>
      </c>
      <c r="E36" s="5" t="s">
        <v>129</v>
      </c>
      <c r="F36" s="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65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</row>
    <row r="2" customFormat="false" ht="23.85" hidden="false" customHeight="false" outlineLevel="0" collapsed="false">
      <c r="A2" s="5" t="s">
        <v>135</v>
      </c>
      <c r="B2" s="5" t="s">
        <v>136</v>
      </c>
      <c r="C2" s="5" t="s">
        <v>137</v>
      </c>
      <c r="D2" s="5" t="s">
        <v>138</v>
      </c>
      <c r="E2" s="5" t="s">
        <v>139</v>
      </c>
    </row>
    <row r="3" customFormat="false" ht="23.85" hidden="false" customHeight="false" outlineLevel="0" collapsed="false">
      <c r="A3" s="5" t="s">
        <v>140</v>
      </c>
      <c r="B3" s="5" t="s">
        <v>141</v>
      </c>
      <c r="C3" s="5" t="s">
        <v>142</v>
      </c>
      <c r="D3" s="5" t="s">
        <v>143</v>
      </c>
      <c r="E3" s="5" t="s">
        <v>144</v>
      </c>
    </row>
    <row r="4" customFormat="false" ht="23.85" hidden="false" customHeight="false" outlineLevel="0" collapsed="false">
      <c r="A4" s="5" t="s">
        <v>145</v>
      </c>
      <c r="B4" s="5" t="s">
        <v>146</v>
      </c>
      <c r="C4" s="5" t="s">
        <v>147</v>
      </c>
      <c r="D4" s="5" t="s">
        <v>148</v>
      </c>
      <c r="E4" s="5" t="s">
        <v>149</v>
      </c>
    </row>
    <row r="5" customFormat="false" ht="23.85" hidden="false" customHeight="false" outlineLevel="0" collapsed="false">
      <c r="A5" s="5" t="s">
        <v>150</v>
      </c>
      <c r="B5" s="5" t="s">
        <v>151</v>
      </c>
      <c r="C5" s="5" t="s">
        <v>152</v>
      </c>
      <c r="D5" s="5" t="s">
        <v>153</v>
      </c>
      <c r="E5" s="5" t="s">
        <v>154</v>
      </c>
    </row>
    <row r="7" customFormat="false" ht="15" hidden="false" customHeight="true" outlineLevel="0" collapsed="false">
      <c r="A7" s="6" t="s">
        <v>155</v>
      </c>
      <c r="B7" s="6"/>
      <c r="C7" s="6"/>
      <c r="D7" s="6"/>
      <c r="E7" s="6"/>
    </row>
  </sheetData>
  <mergeCells count="1"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34"/>
  </cols>
  <sheetData>
    <row r="1" customFormat="false" ht="35.0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156</v>
      </c>
      <c r="E1" s="4" t="s">
        <v>157</v>
      </c>
      <c r="F1" s="4" t="s">
        <v>158</v>
      </c>
      <c r="G1" s="4" t="s">
        <v>159</v>
      </c>
      <c r="H1" s="4" t="s">
        <v>160</v>
      </c>
      <c r="I1" s="4" t="s">
        <v>161</v>
      </c>
      <c r="J1" s="4" t="s">
        <v>162</v>
      </c>
      <c r="K1" s="4" t="s">
        <v>163</v>
      </c>
    </row>
    <row r="2" customFormat="false" ht="15" hidden="false" customHeight="false" outlineLevel="0" collapsed="false">
      <c r="A2" s="5" t="s">
        <v>35</v>
      </c>
      <c r="B2" s="5" t="s">
        <v>36</v>
      </c>
      <c r="C2" s="5" t="s">
        <v>37</v>
      </c>
      <c r="D2" s="7" t="n">
        <v>3</v>
      </c>
      <c r="E2" s="7" t="n">
        <v>4</v>
      </c>
      <c r="F2" s="7" t="n">
        <v>5</v>
      </c>
      <c r="G2" s="7" t="n">
        <v>4</v>
      </c>
      <c r="H2" s="5" t="n">
        <f aca="false">AVERAGE(D2:G2)</f>
        <v>4</v>
      </c>
      <c r="I2" s="5" t="n">
        <f aca="false">MAX(D2:G2)</f>
        <v>5</v>
      </c>
      <c r="J2" s="5" t="n">
        <f aca="false">COUNTIF(D2:G2,"&gt;=4")</f>
        <v>3</v>
      </c>
      <c r="K2" s="8" t="s">
        <v>164</v>
      </c>
    </row>
    <row r="3" customFormat="false" ht="15" hidden="false" customHeight="false" outlineLevel="0" collapsed="false">
      <c r="A3" s="5" t="s">
        <v>40</v>
      </c>
      <c r="B3" s="5" t="s">
        <v>36</v>
      </c>
      <c r="C3" s="5" t="s">
        <v>41</v>
      </c>
      <c r="D3" s="7" t="n">
        <v>3</v>
      </c>
      <c r="E3" s="7" t="n">
        <v>4</v>
      </c>
      <c r="F3" s="7" t="n">
        <v>5</v>
      </c>
      <c r="G3" s="7" t="n">
        <v>4</v>
      </c>
      <c r="H3" s="5" t="n">
        <f aca="false">AVERAGE(D3:G3)</f>
        <v>4</v>
      </c>
      <c r="I3" s="5" t="n">
        <f aca="false">MAX(D3:G3)</f>
        <v>5</v>
      </c>
      <c r="J3" s="5" t="n">
        <f aca="false">COUNTIF(D3:G3,"&gt;=4")</f>
        <v>3</v>
      </c>
      <c r="K3" s="8" t="s">
        <v>164</v>
      </c>
    </row>
    <row r="4" customFormat="false" ht="15" hidden="false" customHeight="false" outlineLevel="0" collapsed="false">
      <c r="A4" s="5" t="s">
        <v>42</v>
      </c>
      <c r="B4" s="5" t="s">
        <v>36</v>
      </c>
      <c r="C4" s="5" t="s">
        <v>43</v>
      </c>
      <c r="D4" s="7" t="n">
        <v>2</v>
      </c>
      <c r="E4" s="7" t="n">
        <v>3</v>
      </c>
      <c r="F4" s="7" t="n">
        <v>4</v>
      </c>
      <c r="G4" s="7" t="n">
        <v>4</v>
      </c>
      <c r="H4" s="5" t="n">
        <f aca="false">AVERAGE(D4:G4)</f>
        <v>3.25</v>
      </c>
      <c r="I4" s="5" t="n">
        <f aca="false">MAX(D4:G4)</f>
        <v>4</v>
      </c>
      <c r="J4" s="5" t="n">
        <f aca="false">COUNTIF(D4:G4,"&gt;=4")</f>
        <v>2</v>
      </c>
      <c r="K4" s="8" t="s">
        <v>164</v>
      </c>
    </row>
    <row r="5" customFormat="false" ht="15" hidden="false" customHeight="false" outlineLevel="0" collapsed="false">
      <c r="A5" s="5" t="s">
        <v>44</v>
      </c>
      <c r="B5" s="5" t="s">
        <v>36</v>
      </c>
      <c r="C5" s="5" t="s">
        <v>45</v>
      </c>
      <c r="D5" s="7" t="n">
        <v>2</v>
      </c>
      <c r="E5" s="7" t="n">
        <v>3</v>
      </c>
      <c r="F5" s="7" t="n">
        <v>3</v>
      </c>
      <c r="G5" s="7" t="n">
        <v>3</v>
      </c>
      <c r="H5" s="5" t="n">
        <f aca="false">AVERAGE(D5:G5)</f>
        <v>2.75</v>
      </c>
      <c r="I5" s="5" t="n">
        <f aca="false">MAX(D5:G5)</f>
        <v>3</v>
      </c>
      <c r="J5" s="5" t="n">
        <f aca="false">COUNTIF(D5:G5,"&gt;=4")</f>
        <v>0</v>
      </c>
      <c r="K5" s="8" t="s">
        <v>164</v>
      </c>
    </row>
    <row r="6" customFormat="false" ht="15" hidden="false" customHeight="false" outlineLevel="0" collapsed="false">
      <c r="A6" s="5" t="s">
        <v>46</v>
      </c>
      <c r="B6" s="5" t="s">
        <v>36</v>
      </c>
      <c r="C6" s="5" t="s">
        <v>47</v>
      </c>
      <c r="D6" s="7" t="n">
        <v>2</v>
      </c>
      <c r="E6" s="7" t="n">
        <v>3</v>
      </c>
      <c r="F6" s="7" t="n">
        <v>4</v>
      </c>
      <c r="G6" s="7" t="n">
        <v>3</v>
      </c>
      <c r="H6" s="5" t="n">
        <f aca="false">AVERAGE(D6:G6)</f>
        <v>3</v>
      </c>
      <c r="I6" s="5" t="n">
        <f aca="false">MAX(D6:G6)</f>
        <v>4</v>
      </c>
      <c r="J6" s="5" t="n">
        <f aca="false">COUNTIF(D6:G6,"&gt;=4")</f>
        <v>1</v>
      </c>
      <c r="K6" s="8" t="s">
        <v>164</v>
      </c>
    </row>
    <row r="7" customFormat="false" ht="15" hidden="false" customHeight="false" outlineLevel="0" collapsed="false">
      <c r="A7" s="5" t="s">
        <v>48</v>
      </c>
      <c r="B7" s="5" t="s">
        <v>36</v>
      </c>
      <c r="C7" s="5" t="s">
        <v>49</v>
      </c>
      <c r="D7" s="7" t="n">
        <v>2</v>
      </c>
      <c r="E7" s="7" t="n">
        <v>3</v>
      </c>
      <c r="F7" s="7" t="n">
        <v>4</v>
      </c>
      <c r="G7" s="7" t="n">
        <v>3</v>
      </c>
      <c r="H7" s="5" t="n">
        <f aca="false">AVERAGE(D7:G7)</f>
        <v>3</v>
      </c>
      <c r="I7" s="5" t="n">
        <f aca="false">MAX(D7:G7)</f>
        <v>4</v>
      </c>
      <c r="J7" s="5" t="n">
        <f aca="false">COUNTIF(D7:G7,"&gt;=4")</f>
        <v>1</v>
      </c>
      <c r="K7" s="8" t="s">
        <v>164</v>
      </c>
    </row>
    <row r="8" customFormat="false" ht="15" hidden="false" customHeight="false" outlineLevel="0" collapsed="false">
      <c r="A8" s="5" t="s">
        <v>50</v>
      </c>
      <c r="B8" s="5" t="s">
        <v>36</v>
      </c>
      <c r="C8" s="5" t="s">
        <v>51</v>
      </c>
      <c r="D8" s="7" t="n">
        <v>2</v>
      </c>
      <c r="E8" s="7" t="n">
        <v>3</v>
      </c>
      <c r="F8" s="7" t="n">
        <v>3</v>
      </c>
      <c r="G8" s="7" t="n">
        <v>3</v>
      </c>
      <c r="H8" s="5" t="n">
        <f aca="false">AVERAGE(D8:G8)</f>
        <v>2.75</v>
      </c>
      <c r="I8" s="5" t="n">
        <f aca="false">MAX(D8:G8)</f>
        <v>3</v>
      </c>
      <c r="J8" s="5" t="n">
        <f aca="false">COUNTIF(D8:G8,"&gt;=4")</f>
        <v>0</v>
      </c>
      <c r="K8" s="8" t="s">
        <v>164</v>
      </c>
    </row>
    <row r="9" customFormat="false" ht="15" hidden="false" customHeight="false" outlineLevel="0" collapsed="false">
      <c r="A9" s="5" t="s">
        <v>52</v>
      </c>
      <c r="B9" s="5" t="s">
        <v>36</v>
      </c>
      <c r="C9" s="5" t="s">
        <v>53</v>
      </c>
      <c r="D9" s="7" t="n">
        <v>2</v>
      </c>
      <c r="E9" s="7" t="n">
        <v>2</v>
      </c>
      <c r="F9" s="7" t="n">
        <v>3</v>
      </c>
      <c r="G9" s="7" t="n">
        <v>4</v>
      </c>
      <c r="H9" s="5" t="n">
        <f aca="false">AVERAGE(D9:G9)</f>
        <v>2.75</v>
      </c>
      <c r="I9" s="5" t="n">
        <f aca="false">MAX(D9:G9)</f>
        <v>4</v>
      </c>
      <c r="J9" s="5" t="n">
        <f aca="false">COUNTIF(D9:G9,"&gt;=4")</f>
        <v>1</v>
      </c>
      <c r="K9" s="8" t="s">
        <v>164</v>
      </c>
    </row>
    <row r="10" customFormat="false" ht="15" hidden="false" customHeight="false" outlineLevel="0" collapsed="false">
      <c r="A10" s="5" t="s">
        <v>54</v>
      </c>
      <c r="B10" s="5" t="s">
        <v>36</v>
      </c>
      <c r="C10" s="5" t="s">
        <v>55</v>
      </c>
      <c r="D10" s="7" t="n">
        <v>2</v>
      </c>
      <c r="E10" s="7" t="n">
        <v>3</v>
      </c>
      <c r="F10" s="7" t="n">
        <v>4</v>
      </c>
      <c r="G10" s="7" t="n">
        <v>3</v>
      </c>
      <c r="H10" s="5" t="n">
        <f aca="false">AVERAGE(D10:G10)</f>
        <v>3</v>
      </c>
      <c r="I10" s="5" t="n">
        <f aca="false">MAX(D10:G10)</f>
        <v>4</v>
      </c>
      <c r="J10" s="5" t="n">
        <f aca="false">COUNTIF(D10:G10,"&gt;=4")</f>
        <v>1</v>
      </c>
      <c r="K10" s="8" t="s">
        <v>164</v>
      </c>
    </row>
    <row r="11" customFormat="false" ht="15" hidden="false" customHeight="false" outlineLevel="0" collapsed="false">
      <c r="A11" s="5" t="s">
        <v>57</v>
      </c>
      <c r="B11" s="5" t="s">
        <v>36</v>
      </c>
      <c r="C11" s="5" t="s">
        <v>58</v>
      </c>
      <c r="D11" s="7" t="n">
        <v>3</v>
      </c>
      <c r="E11" s="7" t="n">
        <v>4</v>
      </c>
      <c r="F11" s="7" t="n">
        <v>5</v>
      </c>
      <c r="G11" s="7" t="n">
        <v>4</v>
      </c>
      <c r="H11" s="5" t="n">
        <f aca="false">AVERAGE(D11:G11)</f>
        <v>4</v>
      </c>
      <c r="I11" s="5" t="n">
        <f aca="false">MAX(D11:G11)</f>
        <v>5</v>
      </c>
      <c r="J11" s="5" t="n">
        <f aca="false">COUNTIF(D11:G11,"&gt;=4")</f>
        <v>3</v>
      </c>
      <c r="K11" s="8" t="s">
        <v>164</v>
      </c>
    </row>
    <row r="12" customFormat="false" ht="15" hidden="false" customHeight="false" outlineLevel="0" collapsed="false">
      <c r="A12" s="5" t="s">
        <v>60</v>
      </c>
      <c r="B12" s="5" t="s">
        <v>36</v>
      </c>
      <c r="C12" s="5" t="s">
        <v>61</v>
      </c>
      <c r="D12" s="7" t="n">
        <v>1</v>
      </c>
      <c r="E12" s="7" t="n">
        <v>2</v>
      </c>
      <c r="F12" s="7" t="n">
        <v>4</v>
      </c>
      <c r="G12" s="7" t="n">
        <v>3</v>
      </c>
      <c r="H12" s="5" t="n">
        <f aca="false">AVERAGE(D12:G12)</f>
        <v>2.5</v>
      </c>
      <c r="I12" s="5" t="n">
        <f aca="false">MAX(D12:G12)</f>
        <v>4</v>
      </c>
      <c r="J12" s="5" t="n">
        <f aca="false">COUNTIF(D12:G12,"&gt;=4")</f>
        <v>1</v>
      </c>
      <c r="K12" s="8" t="s">
        <v>164</v>
      </c>
    </row>
    <row r="13" customFormat="false" ht="15" hidden="false" customHeight="false" outlineLevel="0" collapsed="false">
      <c r="A13" s="5" t="s">
        <v>64</v>
      </c>
      <c r="B13" s="5" t="s">
        <v>36</v>
      </c>
      <c r="C13" s="5" t="s">
        <v>65</v>
      </c>
      <c r="D13" s="7" t="n">
        <v>1</v>
      </c>
      <c r="E13" s="7" t="n">
        <v>2</v>
      </c>
      <c r="F13" s="7" t="n">
        <v>3</v>
      </c>
      <c r="G13" s="7" t="n">
        <v>3</v>
      </c>
      <c r="H13" s="5" t="n">
        <f aca="false">AVERAGE(D13:G13)</f>
        <v>2.25</v>
      </c>
      <c r="I13" s="5" t="n">
        <f aca="false">MAX(D13:G13)</f>
        <v>3</v>
      </c>
      <c r="J13" s="5" t="n">
        <f aca="false">COUNTIF(D13:G13,"&gt;=4")</f>
        <v>0</v>
      </c>
      <c r="K13" s="8" t="s">
        <v>164</v>
      </c>
    </row>
    <row r="14" customFormat="false" ht="15" hidden="false" customHeight="false" outlineLevel="0" collapsed="false">
      <c r="A14" s="5" t="s">
        <v>67</v>
      </c>
      <c r="B14" s="5" t="s">
        <v>68</v>
      </c>
      <c r="C14" s="5" t="s">
        <v>69</v>
      </c>
      <c r="D14" s="7" t="n">
        <v>2</v>
      </c>
      <c r="E14" s="7" t="n">
        <v>3</v>
      </c>
      <c r="F14" s="7" t="n">
        <v>4</v>
      </c>
      <c r="G14" s="7" t="n">
        <v>2</v>
      </c>
      <c r="H14" s="5" t="n">
        <f aca="false">AVERAGE(D14:G14)</f>
        <v>2.75</v>
      </c>
      <c r="I14" s="5" t="n">
        <f aca="false">MAX(D14:G14)</f>
        <v>4</v>
      </c>
      <c r="J14" s="5" t="n">
        <f aca="false">COUNTIF(D14:G14,"&gt;=4")</f>
        <v>1</v>
      </c>
      <c r="K14" s="8" t="s">
        <v>164</v>
      </c>
    </row>
    <row r="15" customFormat="false" ht="15" hidden="false" customHeight="false" outlineLevel="0" collapsed="false">
      <c r="A15" s="5" t="s">
        <v>71</v>
      </c>
      <c r="B15" s="5" t="s">
        <v>68</v>
      </c>
      <c r="C15" s="5" t="s">
        <v>72</v>
      </c>
      <c r="D15" s="7" t="n">
        <v>2</v>
      </c>
      <c r="E15" s="7" t="n">
        <v>3</v>
      </c>
      <c r="F15" s="7" t="n">
        <v>4</v>
      </c>
      <c r="G15" s="7" t="n">
        <v>2</v>
      </c>
      <c r="H15" s="5" t="n">
        <f aca="false">AVERAGE(D15:G15)</f>
        <v>2.75</v>
      </c>
      <c r="I15" s="5" t="n">
        <f aca="false">MAX(D15:G15)</f>
        <v>4</v>
      </c>
      <c r="J15" s="5" t="n">
        <f aca="false">COUNTIF(D15:G15,"&gt;=4")</f>
        <v>1</v>
      </c>
      <c r="K15" s="8" t="s">
        <v>164</v>
      </c>
    </row>
    <row r="16" customFormat="false" ht="15" hidden="false" customHeight="false" outlineLevel="0" collapsed="false">
      <c r="A16" s="5" t="s">
        <v>74</v>
      </c>
      <c r="B16" s="5" t="s">
        <v>68</v>
      </c>
      <c r="C16" s="5" t="s">
        <v>75</v>
      </c>
      <c r="D16" s="7" t="n">
        <v>2</v>
      </c>
      <c r="E16" s="7" t="n">
        <v>3</v>
      </c>
      <c r="F16" s="7" t="n">
        <v>3</v>
      </c>
      <c r="G16" s="7" t="n">
        <v>2</v>
      </c>
      <c r="H16" s="5" t="n">
        <f aca="false">AVERAGE(D16:G16)</f>
        <v>2.5</v>
      </c>
      <c r="I16" s="5" t="n">
        <f aca="false">MAX(D16:G16)</f>
        <v>3</v>
      </c>
      <c r="J16" s="5" t="n">
        <f aca="false">COUNTIF(D16:G16,"&gt;=4")</f>
        <v>0</v>
      </c>
      <c r="K16" s="8" t="s">
        <v>164</v>
      </c>
    </row>
    <row r="17" customFormat="false" ht="15" hidden="false" customHeight="false" outlineLevel="0" collapsed="false">
      <c r="A17" s="5" t="s">
        <v>76</v>
      </c>
      <c r="B17" s="5" t="s">
        <v>68</v>
      </c>
      <c r="C17" s="5" t="s">
        <v>77</v>
      </c>
      <c r="D17" s="7" t="n">
        <v>1</v>
      </c>
      <c r="E17" s="7" t="n">
        <v>2</v>
      </c>
      <c r="F17" s="7" t="n">
        <v>3</v>
      </c>
      <c r="G17" s="7" t="n">
        <v>1</v>
      </c>
      <c r="H17" s="5" t="n">
        <f aca="false">AVERAGE(D17:G17)</f>
        <v>1.75</v>
      </c>
      <c r="I17" s="5" t="n">
        <f aca="false">MAX(D17:G17)</f>
        <v>3</v>
      </c>
      <c r="J17" s="5" t="n">
        <f aca="false">COUNTIF(D17:G17,"&gt;=4")</f>
        <v>0</v>
      </c>
      <c r="K17" s="8" t="s">
        <v>164</v>
      </c>
    </row>
    <row r="18" customFormat="false" ht="15" hidden="false" customHeight="false" outlineLevel="0" collapsed="false">
      <c r="A18" s="5" t="s">
        <v>78</v>
      </c>
      <c r="B18" s="5" t="s">
        <v>68</v>
      </c>
      <c r="C18" s="5" t="s">
        <v>79</v>
      </c>
      <c r="D18" s="7" t="n">
        <v>1</v>
      </c>
      <c r="E18" s="7" t="n">
        <v>2</v>
      </c>
      <c r="F18" s="7" t="n">
        <v>2</v>
      </c>
      <c r="G18" s="7" t="n">
        <v>1</v>
      </c>
      <c r="H18" s="5" t="n">
        <f aca="false">AVERAGE(D18:G18)</f>
        <v>1.5</v>
      </c>
      <c r="I18" s="5" t="n">
        <f aca="false">MAX(D18:G18)</f>
        <v>2</v>
      </c>
      <c r="J18" s="5" t="n">
        <f aca="false">COUNTIF(D18:G18,"&gt;=4")</f>
        <v>0</v>
      </c>
      <c r="K18" s="8" t="s">
        <v>164</v>
      </c>
    </row>
    <row r="19" customFormat="false" ht="15" hidden="false" customHeight="false" outlineLevel="0" collapsed="false">
      <c r="A19" s="5" t="s">
        <v>80</v>
      </c>
      <c r="B19" s="5" t="s">
        <v>68</v>
      </c>
      <c r="C19" s="5" t="s">
        <v>81</v>
      </c>
      <c r="D19" s="7" t="n">
        <v>1</v>
      </c>
      <c r="E19" s="7" t="n">
        <v>2</v>
      </c>
      <c r="F19" s="7" t="n">
        <v>2</v>
      </c>
      <c r="G19" s="7" t="n">
        <v>1</v>
      </c>
      <c r="H19" s="5" t="n">
        <f aca="false">AVERAGE(D19:G19)</f>
        <v>1.5</v>
      </c>
      <c r="I19" s="5" t="n">
        <f aca="false">MAX(D19:G19)</f>
        <v>2</v>
      </c>
      <c r="J19" s="5" t="n">
        <f aca="false">COUNTIF(D19:G19,"&gt;=4")</f>
        <v>0</v>
      </c>
      <c r="K19" s="8" t="s">
        <v>164</v>
      </c>
    </row>
    <row r="20" customFormat="false" ht="15" hidden="false" customHeight="false" outlineLevel="0" collapsed="false">
      <c r="A20" s="5" t="s">
        <v>82</v>
      </c>
      <c r="B20" s="5" t="s">
        <v>68</v>
      </c>
      <c r="C20" s="5" t="s">
        <v>83</v>
      </c>
      <c r="D20" s="7" t="n">
        <v>2</v>
      </c>
      <c r="E20" s="7" t="n">
        <v>3</v>
      </c>
      <c r="F20" s="7" t="n">
        <v>4</v>
      </c>
      <c r="G20" s="7" t="n">
        <v>2</v>
      </c>
      <c r="H20" s="5" t="n">
        <f aca="false">AVERAGE(D20:G20)</f>
        <v>2.75</v>
      </c>
      <c r="I20" s="5" t="n">
        <f aca="false">MAX(D20:G20)</f>
        <v>4</v>
      </c>
      <c r="J20" s="5" t="n">
        <f aca="false">COUNTIF(D20:G20,"&gt;=4")</f>
        <v>1</v>
      </c>
      <c r="K20" s="8" t="s">
        <v>164</v>
      </c>
    </row>
    <row r="21" customFormat="false" ht="15" hidden="false" customHeight="false" outlineLevel="0" collapsed="false">
      <c r="A21" s="5" t="s">
        <v>85</v>
      </c>
      <c r="B21" s="5" t="s">
        <v>68</v>
      </c>
      <c r="C21" s="5" t="s">
        <v>86</v>
      </c>
      <c r="D21" s="7" t="n">
        <v>2</v>
      </c>
      <c r="E21" s="7" t="n">
        <v>3</v>
      </c>
      <c r="F21" s="7" t="n">
        <v>4</v>
      </c>
      <c r="G21" s="7" t="n">
        <v>3</v>
      </c>
      <c r="H21" s="5" t="n">
        <f aca="false">AVERAGE(D21:G21)</f>
        <v>3</v>
      </c>
      <c r="I21" s="5" t="n">
        <f aca="false">MAX(D21:G21)</f>
        <v>4</v>
      </c>
      <c r="J21" s="5" t="n">
        <f aca="false">COUNTIF(D21:G21,"&gt;=4")</f>
        <v>1</v>
      </c>
      <c r="K21" s="8" t="s">
        <v>164</v>
      </c>
    </row>
    <row r="22" customFormat="false" ht="15" hidden="false" customHeight="false" outlineLevel="0" collapsed="false">
      <c r="A22" s="5" t="s">
        <v>87</v>
      </c>
      <c r="B22" s="5" t="s">
        <v>68</v>
      </c>
      <c r="C22" s="5" t="s">
        <v>88</v>
      </c>
      <c r="D22" s="7" t="n">
        <v>1</v>
      </c>
      <c r="E22" s="7" t="n">
        <v>2</v>
      </c>
      <c r="F22" s="7" t="n">
        <v>4</v>
      </c>
      <c r="G22" s="7" t="n">
        <v>3</v>
      </c>
      <c r="H22" s="5" t="n">
        <f aca="false">AVERAGE(D22:G22)</f>
        <v>2.5</v>
      </c>
      <c r="I22" s="5" t="n">
        <f aca="false">MAX(D22:G22)</f>
        <v>4</v>
      </c>
      <c r="J22" s="5" t="n">
        <f aca="false">COUNTIF(D22:G22,"&gt;=4")</f>
        <v>1</v>
      </c>
      <c r="K22" s="8" t="s">
        <v>164</v>
      </c>
    </row>
    <row r="23" customFormat="false" ht="15" hidden="false" customHeight="false" outlineLevel="0" collapsed="false">
      <c r="A23" s="5" t="s">
        <v>90</v>
      </c>
      <c r="B23" s="5" t="s">
        <v>68</v>
      </c>
      <c r="C23" s="5" t="s">
        <v>91</v>
      </c>
      <c r="D23" s="7" t="n">
        <v>1</v>
      </c>
      <c r="E23" s="7" t="n">
        <v>2</v>
      </c>
      <c r="F23" s="7" t="n">
        <v>3</v>
      </c>
      <c r="G23" s="7" t="n">
        <v>2</v>
      </c>
      <c r="H23" s="5" t="n">
        <f aca="false">AVERAGE(D23:G23)</f>
        <v>2</v>
      </c>
      <c r="I23" s="5" t="n">
        <f aca="false">MAX(D23:G23)</f>
        <v>3</v>
      </c>
      <c r="J23" s="5" t="n">
        <f aca="false">COUNTIF(D23:G23,"&gt;=4")</f>
        <v>0</v>
      </c>
      <c r="K23" s="8" t="s">
        <v>164</v>
      </c>
    </row>
    <row r="24" customFormat="false" ht="15" hidden="false" customHeight="false" outlineLevel="0" collapsed="false">
      <c r="A24" s="5" t="s">
        <v>92</v>
      </c>
      <c r="B24" s="5" t="s">
        <v>68</v>
      </c>
      <c r="C24" s="5" t="s">
        <v>93</v>
      </c>
      <c r="D24" s="7" t="n">
        <v>1</v>
      </c>
      <c r="E24" s="7" t="n">
        <v>2</v>
      </c>
      <c r="F24" s="7" t="n">
        <v>3</v>
      </c>
      <c r="G24" s="7" t="n">
        <v>2</v>
      </c>
      <c r="H24" s="5" t="n">
        <f aca="false">AVERAGE(D24:G24)</f>
        <v>2</v>
      </c>
      <c r="I24" s="5" t="n">
        <f aca="false">MAX(D24:G24)</f>
        <v>3</v>
      </c>
      <c r="J24" s="5" t="n">
        <f aca="false">COUNTIF(D24:G24,"&gt;=4")</f>
        <v>0</v>
      </c>
      <c r="K24" s="8" t="s">
        <v>164</v>
      </c>
    </row>
    <row r="25" customFormat="false" ht="15" hidden="false" customHeight="false" outlineLevel="0" collapsed="false">
      <c r="A25" s="5" t="s">
        <v>94</v>
      </c>
      <c r="B25" s="5" t="s">
        <v>68</v>
      </c>
      <c r="C25" s="5" t="s">
        <v>95</v>
      </c>
      <c r="D25" s="7" t="n">
        <v>2</v>
      </c>
      <c r="E25" s="7" t="n">
        <v>2</v>
      </c>
      <c r="F25" s="7" t="n">
        <v>3</v>
      </c>
      <c r="G25" s="7" t="n">
        <v>3</v>
      </c>
      <c r="H25" s="5" t="n">
        <f aca="false">AVERAGE(D25:G25)</f>
        <v>2.5</v>
      </c>
      <c r="I25" s="5" t="n">
        <f aca="false">MAX(D25:G25)</f>
        <v>3</v>
      </c>
      <c r="J25" s="5" t="n">
        <f aca="false">COUNTIF(D25:G25,"&gt;=4")</f>
        <v>0</v>
      </c>
      <c r="K25" s="8" t="s">
        <v>164</v>
      </c>
    </row>
    <row r="26" customFormat="false" ht="15" hidden="false" customHeight="false" outlineLevel="0" collapsed="false">
      <c r="A26" s="5" t="s">
        <v>96</v>
      </c>
      <c r="B26" s="5" t="s">
        <v>97</v>
      </c>
      <c r="C26" s="5" t="s">
        <v>98</v>
      </c>
      <c r="D26" s="7" t="n">
        <v>2</v>
      </c>
      <c r="E26" s="7" t="n">
        <v>2</v>
      </c>
      <c r="F26" s="7" t="n">
        <v>3</v>
      </c>
      <c r="G26" s="7" t="n">
        <v>3</v>
      </c>
      <c r="H26" s="5" t="n">
        <f aca="false">AVERAGE(D26:G26)</f>
        <v>2.5</v>
      </c>
      <c r="I26" s="5" t="n">
        <f aca="false">MAX(D26:G26)</f>
        <v>3</v>
      </c>
      <c r="J26" s="5" t="n">
        <f aca="false">COUNTIF(D26:G26,"&gt;=4")</f>
        <v>0</v>
      </c>
      <c r="K26" s="8" t="s">
        <v>164</v>
      </c>
    </row>
    <row r="27" customFormat="false" ht="15" hidden="false" customHeight="false" outlineLevel="0" collapsed="false">
      <c r="A27" s="5" t="s">
        <v>99</v>
      </c>
      <c r="B27" s="5" t="s">
        <v>97</v>
      </c>
      <c r="C27" s="5" t="s">
        <v>100</v>
      </c>
      <c r="D27" s="7" t="n">
        <v>2</v>
      </c>
      <c r="E27" s="7" t="n">
        <v>3</v>
      </c>
      <c r="F27" s="7" t="n">
        <v>4</v>
      </c>
      <c r="G27" s="7" t="n">
        <v>4</v>
      </c>
      <c r="H27" s="5" t="n">
        <f aca="false">AVERAGE(D27:G27)</f>
        <v>3.25</v>
      </c>
      <c r="I27" s="5" t="n">
        <f aca="false">MAX(D27:G27)</f>
        <v>4</v>
      </c>
      <c r="J27" s="5" t="n">
        <f aca="false">COUNTIF(D27:G27,"&gt;=4")</f>
        <v>2</v>
      </c>
      <c r="K27" s="8" t="s">
        <v>164</v>
      </c>
    </row>
    <row r="28" customFormat="false" ht="15" hidden="false" customHeight="false" outlineLevel="0" collapsed="false">
      <c r="A28" s="5" t="s">
        <v>102</v>
      </c>
      <c r="B28" s="5" t="s">
        <v>97</v>
      </c>
      <c r="C28" s="5" t="s">
        <v>103</v>
      </c>
      <c r="D28" s="7" t="n">
        <v>2</v>
      </c>
      <c r="E28" s="7" t="n">
        <v>2</v>
      </c>
      <c r="F28" s="7" t="n">
        <v>2</v>
      </c>
      <c r="G28" s="7" t="n">
        <v>2</v>
      </c>
      <c r="H28" s="5" t="n">
        <f aca="false">AVERAGE(D28:G28)</f>
        <v>2</v>
      </c>
      <c r="I28" s="5" t="n">
        <f aca="false">MAX(D28:G28)</f>
        <v>2</v>
      </c>
      <c r="J28" s="5" t="n">
        <f aca="false">COUNTIF(D28:G28,"&gt;=4")</f>
        <v>0</v>
      </c>
      <c r="K28" s="8" t="s">
        <v>164</v>
      </c>
    </row>
    <row r="29" customFormat="false" ht="15" hidden="false" customHeight="false" outlineLevel="0" collapsed="false">
      <c r="A29" s="5" t="s">
        <v>104</v>
      </c>
      <c r="B29" s="5" t="s">
        <v>97</v>
      </c>
      <c r="C29" s="5" t="s">
        <v>105</v>
      </c>
      <c r="D29" s="7" t="n">
        <v>1</v>
      </c>
      <c r="E29" s="7" t="n">
        <v>2</v>
      </c>
      <c r="F29" s="7" t="n">
        <v>3</v>
      </c>
      <c r="G29" s="7" t="n">
        <v>2</v>
      </c>
      <c r="H29" s="5" t="n">
        <f aca="false">AVERAGE(D29:G29)</f>
        <v>2</v>
      </c>
      <c r="I29" s="5" t="n">
        <f aca="false">MAX(D29:G29)</f>
        <v>3</v>
      </c>
      <c r="J29" s="5" t="n">
        <f aca="false">COUNTIF(D29:G29,"&gt;=4")</f>
        <v>0</v>
      </c>
      <c r="K29" s="8" t="s">
        <v>164</v>
      </c>
    </row>
    <row r="30" customFormat="false" ht="15" hidden="false" customHeight="false" outlineLevel="0" collapsed="false">
      <c r="A30" s="5" t="s">
        <v>106</v>
      </c>
      <c r="B30" s="5" t="s">
        <v>97</v>
      </c>
      <c r="C30" s="5" t="s">
        <v>107</v>
      </c>
      <c r="D30" s="7" t="n">
        <v>1</v>
      </c>
      <c r="E30" s="7" t="n">
        <v>2</v>
      </c>
      <c r="F30" s="7" t="n">
        <v>3</v>
      </c>
      <c r="G30" s="7" t="n">
        <v>3</v>
      </c>
      <c r="H30" s="5" t="n">
        <f aca="false">AVERAGE(D30:G30)</f>
        <v>2.25</v>
      </c>
      <c r="I30" s="5" t="n">
        <f aca="false">MAX(D30:G30)</f>
        <v>3</v>
      </c>
      <c r="J30" s="5" t="n">
        <f aca="false">COUNTIF(D30:G30,"&gt;=4")</f>
        <v>0</v>
      </c>
      <c r="K30" s="8" t="s">
        <v>164</v>
      </c>
    </row>
    <row r="31" customFormat="false" ht="23.85" hidden="false" customHeight="false" outlineLevel="0" collapsed="false">
      <c r="A31" s="5" t="s">
        <v>108</v>
      </c>
      <c r="B31" s="5" t="s">
        <v>109</v>
      </c>
      <c r="C31" s="5" t="s">
        <v>110</v>
      </c>
      <c r="D31" s="7" t="n">
        <v>1</v>
      </c>
      <c r="E31" s="7" t="n">
        <v>2</v>
      </c>
      <c r="F31" s="7" t="n">
        <v>4</v>
      </c>
      <c r="G31" s="7" t="n">
        <v>5</v>
      </c>
      <c r="H31" s="5" t="n">
        <f aca="false">AVERAGE(D31:G31)</f>
        <v>3</v>
      </c>
      <c r="I31" s="5" t="n">
        <f aca="false">MAX(D31:G31)</f>
        <v>5</v>
      </c>
      <c r="J31" s="5" t="n">
        <f aca="false">COUNTIF(D31:G31,"&gt;=4")</f>
        <v>2</v>
      </c>
      <c r="K31" s="8" t="s">
        <v>164</v>
      </c>
    </row>
    <row r="32" customFormat="false" ht="23.85" hidden="false" customHeight="false" outlineLevel="0" collapsed="false">
      <c r="A32" s="5" t="s">
        <v>113</v>
      </c>
      <c r="B32" s="5" t="s">
        <v>109</v>
      </c>
      <c r="C32" s="5" t="s">
        <v>114</v>
      </c>
      <c r="D32" s="7" t="n">
        <v>2</v>
      </c>
      <c r="E32" s="7" t="n">
        <v>3</v>
      </c>
      <c r="F32" s="7" t="n">
        <v>4</v>
      </c>
      <c r="G32" s="7" t="n">
        <v>5</v>
      </c>
      <c r="H32" s="5" t="n">
        <f aca="false">AVERAGE(D32:G32)</f>
        <v>3.5</v>
      </c>
      <c r="I32" s="5" t="n">
        <f aca="false">MAX(D32:G32)</f>
        <v>5</v>
      </c>
      <c r="J32" s="5" t="n">
        <f aca="false">COUNTIF(D32:G32,"&gt;=4")</f>
        <v>2</v>
      </c>
      <c r="K32" s="8" t="s">
        <v>164</v>
      </c>
    </row>
    <row r="33" customFormat="false" ht="23.85" hidden="false" customHeight="false" outlineLevel="0" collapsed="false">
      <c r="A33" s="5" t="s">
        <v>116</v>
      </c>
      <c r="B33" s="5" t="s">
        <v>109</v>
      </c>
      <c r="C33" s="5" t="s">
        <v>117</v>
      </c>
      <c r="D33" s="7" t="n">
        <v>1</v>
      </c>
      <c r="E33" s="7" t="n">
        <v>2</v>
      </c>
      <c r="F33" s="7" t="n">
        <v>4</v>
      </c>
      <c r="G33" s="7" t="n">
        <v>4</v>
      </c>
      <c r="H33" s="5" t="n">
        <f aca="false">AVERAGE(D33:G33)</f>
        <v>2.75</v>
      </c>
      <c r="I33" s="5" t="n">
        <f aca="false">MAX(D33:G33)</f>
        <v>4</v>
      </c>
      <c r="J33" s="5" t="n">
        <f aca="false">COUNTIF(D33:G33,"&gt;=4")</f>
        <v>2</v>
      </c>
      <c r="K33" s="8" t="s">
        <v>164</v>
      </c>
    </row>
    <row r="34" customFormat="false" ht="23.85" hidden="false" customHeight="false" outlineLevel="0" collapsed="false">
      <c r="A34" s="5" t="s">
        <v>120</v>
      </c>
      <c r="B34" s="5" t="s">
        <v>109</v>
      </c>
      <c r="C34" s="5" t="s">
        <v>121</v>
      </c>
      <c r="D34" s="7" t="n">
        <v>2</v>
      </c>
      <c r="E34" s="7" t="n">
        <v>3</v>
      </c>
      <c r="F34" s="7" t="n">
        <v>4</v>
      </c>
      <c r="G34" s="7" t="n">
        <v>5</v>
      </c>
      <c r="H34" s="5" t="n">
        <f aca="false">AVERAGE(D34:G34)</f>
        <v>3.5</v>
      </c>
      <c r="I34" s="5" t="n">
        <f aca="false">MAX(D34:G34)</f>
        <v>5</v>
      </c>
      <c r="J34" s="5" t="n">
        <f aca="false">COUNTIF(D34:G34,"&gt;=4")</f>
        <v>2</v>
      </c>
      <c r="K34" s="8" t="s">
        <v>164</v>
      </c>
    </row>
    <row r="35" customFormat="false" ht="23.85" hidden="false" customHeight="false" outlineLevel="0" collapsed="false">
      <c r="A35" s="5" t="s">
        <v>124</v>
      </c>
      <c r="B35" s="5" t="s">
        <v>109</v>
      </c>
      <c r="C35" s="5" t="s">
        <v>125</v>
      </c>
      <c r="D35" s="7" t="n">
        <v>2</v>
      </c>
      <c r="E35" s="7" t="n">
        <v>3</v>
      </c>
      <c r="F35" s="7" t="n">
        <v>4</v>
      </c>
      <c r="G35" s="7" t="n">
        <v>5</v>
      </c>
      <c r="H35" s="5" t="n">
        <f aca="false">AVERAGE(D35:G35)</f>
        <v>3.5</v>
      </c>
      <c r="I35" s="5" t="n">
        <f aca="false">MAX(D35:G35)</f>
        <v>5</v>
      </c>
      <c r="J35" s="5" t="n">
        <f aca="false">COUNTIF(D35:G35,"&gt;=4")</f>
        <v>2</v>
      </c>
      <c r="K35" s="8" t="s">
        <v>164</v>
      </c>
    </row>
    <row r="36" customFormat="false" ht="23.85" hidden="false" customHeight="false" outlineLevel="0" collapsed="false">
      <c r="A36" s="5" t="s">
        <v>127</v>
      </c>
      <c r="B36" s="5" t="s">
        <v>109</v>
      </c>
      <c r="C36" s="5" t="s">
        <v>128</v>
      </c>
      <c r="D36" s="7" t="n">
        <v>1</v>
      </c>
      <c r="E36" s="7" t="n">
        <v>2</v>
      </c>
      <c r="F36" s="7" t="n">
        <v>3</v>
      </c>
      <c r="G36" s="7" t="n">
        <v>4</v>
      </c>
      <c r="H36" s="5" t="n">
        <f aca="false">AVERAGE(D36:G36)</f>
        <v>2.5</v>
      </c>
      <c r="I36" s="5" t="n">
        <f aca="false">MAX(D36:G36)</f>
        <v>4</v>
      </c>
      <c r="J36" s="5" t="n">
        <f aca="false">COUNTIF(D36:G36,"&gt;=4")</f>
        <v>1</v>
      </c>
      <c r="K36" s="8" t="s">
        <v>164</v>
      </c>
    </row>
    <row r="39" customFormat="false" ht="15" hidden="false" customHeight="false" outlineLevel="0" collapsed="false">
      <c r="A39" s="9" t="s">
        <v>165</v>
      </c>
      <c r="D39" s="10" t="s">
        <v>166</v>
      </c>
    </row>
    <row r="40" customFormat="false" ht="15" hidden="false" customHeight="false" outlineLevel="0" collapsed="false">
      <c r="A40" s="10" t="s">
        <v>167</v>
      </c>
    </row>
    <row r="41" customFormat="false" ht="15" hidden="false" customHeight="false" outlineLevel="0" collapsed="false">
      <c r="A41" s="10" t="s">
        <v>168</v>
      </c>
    </row>
    <row r="42" customFormat="false" ht="15" hidden="false" customHeight="false" outlineLevel="0" collapsed="false">
      <c r="A42" s="10" t="s">
        <v>169</v>
      </c>
    </row>
    <row r="43" customFormat="false" ht="15" hidden="false" customHeight="false" outlineLevel="0" collapsed="false">
      <c r="A43" s="10" t="s">
        <v>170</v>
      </c>
    </row>
    <row r="44" customFormat="false" ht="15" hidden="false" customHeight="false" outlineLevel="0" collapsed="false">
      <c r="A44" s="1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11" t="s">
        <v>172</v>
      </c>
    </row>
    <row r="3" customFormat="false" ht="15" hidden="false" customHeight="false" outlineLevel="0" collapsed="false">
      <c r="A3" s="9" t="s">
        <v>173</v>
      </c>
    </row>
    <row r="4" customFormat="false" ht="15" hidden="false" customHeight="true" outlineLevel="0" collapsed="false">
      <c r="A4" s="12" t="s">
        <v>174</v>
      </c>
      <c r="B4" s="12"/>
      <c r="C4" s="12"/>
      <c r="D4" s="12"/>
      <c r="E4" s="12"/>
      <c r="F4" s="12"/>
      <c r="G4" s="12"/>
      <c r="H4" s="12"/>
    </row>
    <row r="6" customFormat="false" ht="15" hidden="false" customHeight="false" outlineLevel="0" collapsed="false">
      <c r="A6" s="9" t="s">
        <v>175</v>
      </c>
    </row>
    <row r="7" customFormat="false" ht="23.85" hidden="false" customHeight="false" outlineLevel="0" collapsed="false">
      <c r="A7" s="4" t="s">
        <v>176</v>
      </c>
      <c r="B7" s="4" t="s">
        <v>177</v>
      </c>
      <c r="C7" s="4" t="s">
        <v>178</v>
      </c>
      <c r="D7" s="4" t="s">
        <v>179</v>
      </c>
    </row>
    <row r="8" customFormat="false" ht="15" hidden="false" customHeight="false" outlineLevel="0" collapsed="false">
      <c r="A8" s="5" t="s">
        <v>180</v>
      </c>
      <c r="B8" s="5" t="n">
        <v>0.3</v>
      </c>
      <c r="C8" s="5" t="s">
        <v>181</v>
      </c>
      <c r="D8" s="5" t="s">
        <v>182</v>
      </c>
    </row>
    <row r="9" customFormat="false" ht="15" hidden="false" customHeight="false" outlineLevel="0" collapsed="false">
      <c r="A9" s="5" t="s">
        <v>183</v>
      </c>
      <c r="B9" s="5" t="n">
        <v>0.25</v>
      </c>
      <c r="C9" s="5" t="s">
        <v>181</v>
      </c>
      <c r="D9" s="5" t="s">
        <v>184</v>
      </c>
    </row>
    <row r="10" customFormat="false" ht="15" hidden="false" customHeight="false" outlineLevel="0" collapsed="false">
      <c r="A10" s="5" t="s">
        <v>185</v>
      </c>
      <c r="B10" s="5" t="n">
        <v>0.2</v>
      </c>
      <c r="C10" s="5" t="s">
        <v>181</v>
      </c>
      <c r="D10" s="5" t="s">
        <v>186</v>
      </c>
    </row>
    <row r="11" customFormat="false" ht="15" hidden="false" customHeight="false" outlineLevel="0" collapsed="false">
      <c r="A11" s="5" t="s">
        <v>187</v>
      </c>
      <c r="B11" s="5" t="n">
        <v>0.15</v>
      </c>
      <c r="C11" s="5" t="s">
        <v>181</v>
      </c>
      <c r="D11" s="5" t="s">
        <v>188</v>
      </c>
    </row>
    <row r="12" customFormat="false" ht="15" hidden="false" customHeight="false" outlineLevel="0" collapsed="false">
      <c r="A12" s="5" t="s">
        <v>189</v>
      </c>
      <c r="B12" s="5" t="n">
        <v>0.1</v>
      </c>
      <c r="C12" s="5" t="s">
        <v>181</v>
      </c>
      <c r="D12" s="5" t="s">
        <v>190</v>
      </c>
    </row>
    <row r="13" customFormat="false" ht="15" hidden="false" customHeight="false" outlineLevel="0" collapsed="false">
      <c r="A13" s="13" t="s">
        <v>191</v>
      </c>
      <c r="B13" s="13" t="n">
        <f aca="false">SUM(B8:B12)</f>
        <v>1</v>
      </c>
      <c r="C13" s="14"/>
      <c r="D13" s="14"/>
    </row>
    <row r="16" customFormat="false" ht="15" hidden="false" customHeight="false" outlineLevel="0" collapsed="false">
      <c r="A16" s="9" t="s">
        <v>192</v>
      </c>
    </row>
    <row r="17" customFormat="false" ht="15" hidden="false" customHeight="false" outlineLevel="0" collapsed="false">
      <c r="A17" s="4" t="s">
        <v>176</v>
      </c>
      <c r="B17" s="4" t="s">
        <v>177</v>
      </c>
      <c r="C17" s="4" t="s">
        <v>193</v>
      </c>
      <c r="D17" s="4" t="s">
        <v>194</v>
      </c>
    </row>
    <row r="18" customFormat="false" ht="15" hidden="false" customHeight="false" outlineLevel="0" collapsed="false">
      <c r="A18" s="5" t="s">
        <v>195</v>
      </c>
      <c r="B18" s="5" t="n">
        <f aca="false">B8</f>
        <v>0.3</v>
      </c>
      <c r="C18" s="7" t="n">
        <v>3.4</v>
      </c>
      <c r="D18" s="5" t="n">
        <f aca="false">B18*C18</f>
        <v>1.02</v>
      </c>
    </row>
    <row r="19" customFormat="false" ht="15" hidden="false" customHeight="false" outlineLevel="0" collapsed="false">
      <c r="A19" s="5" t="s">
        <v>196</v>
      </c>
      <c r="B19" s="5" t="n">
        <f aca="false">B9</f>
        <v>0.25</v>
      </c>
      <c r="C19" s="7" t="n">
        <v>3</v>
      </c>
      <c r="D19" s="5" t="n">
        <f aca="false">B19*C19</f>
        <v>0.75</v>
      </c>
    </row>
    <row r="20" customFormat="false" ht="15" hidden="false" customHeight="false" outlineLevel="0" collapsed="false">
      <c r="A20" s="5" t="s">
        <v>197</v>
      </c>
      <c r="B20" s="5" t="n">
        <f aca="false">B10</f>
        <v>0.2</v>
      </c>
      <c r="C20" s="7" t="n">
        <v>2.5</v>
      </c>
      <c r="D20" s="5" t="n">
        <f aca="false">B20*C20</f>
        <v>0.5</v>
      </c>
    </row>
    <row r="21" customFormat="false" ht="15" hidden="false" customHeight="false" outlineLevel="0" collapsed="false">
      <c r="A21" s="5" t="s">
        <v>198</v>
      </c>
      <c r="B21" s="5" t="n">
        <f aca="false">B11</f>
        <v>0.15</v>
      </c>
      <c r="C21" s="7" t="n">
        <v>2</v>
      </c>
      <c r="D21" s="5" t="n">
        <f aca="false">B21*C21</f>
        <v>0.3</v>
      </c>
    </row>
    <row r="22" customFormat="false" ht="15" hidden="false" customHeight="false" outlineLevel="0" collapsed="false">
      <c r="A22" s="5" t="s">
        <v>199</v>
      </c>
      <c r="B22" s="5" t="n">
        <f aca="false">B12</f>
        <v>0.1</v>
      </c>
      <c r="C22" s="7" t="n">
        <v>3.5</v>
      </c>
      <c r="D22" s="5" t="n">
        <f aca="false">B22*C22</f>
        <v>0.35</v>
      </c>
    </row>
    <row r="23" customFormat="false" ht="15" hidden="false" customHeight="false" outlineLevel="0" collapsed="false">
      <c r="A23" s="13" t="s">
        <v>200</v>
      </c>
      <c r="B23" s="14"/>
      <c r="C23" s="14"/>
      <c r="D23" s="13" t="n">
        <f aca="false">SUM(D18:D22)</f>
        <v>2.92</v>
      </c>
    </row>
    <row r="25" customFormat="false" ht="15" hidden="false" customHeight="true" outlineLevel="0" collapsed="false">
      <c r="A25" s="6" t="s">
        <v>201</v>
      </c>
      <c r="B25" s="6"/>
      <c r="C25" s="6"/>
      <c r="D25" s="6"/>
      <c r="E25" s="6"/>
      <c r="F25" s="6"/>
      <c r="G25" s="6"/>
      <c r="H25" s="6"/>
    </row>
  </sheetData>
  <mergeCells count="2">
    <mergeCell ref="A4:H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16.15" hidden="false" customHeight="false" outlineLevel="0" collapsed="false">
      <c r="A1" s="15" t="s">
        <v>202</v>
      </c>
      <c r="B1" s="15"/>
      <c r="C1" s="15"/>
      <c r="D1" s="15"/>
      <c r="E1" s="15"/>
      <c r="F1" s="15"/>
    </row>
    <row r="3" customFormat="false" ht="15" hidden="false" customHeight="true" outlineLevel="0" collapsed="false">
      <c r="A3" s="6" t="s">
        <v>203</v>
      </c>
      <c r="B3" s="6"/>
      <c r="C3" s="6"/>
      <c r="D3" s="6"/>
      <c r="E3" s="6"/>
      <c r="F3" s="6"/>
    </row>
    <row r="5" customFormat="false" ht="15" hidden="false" customHeight="false" outlineLevel="0" collapsed="false">
      <c r="A5" s="9" t="s">
        <v>204</v>
      </c>
    </row>
    <row r="7" customFormat="false" ht="23.85" hidden="false" customHeight="false" outlineLevel="0" collapsed="false">
      <c r="A7" s="16" t="s">
        <v>205</v>
      </c>
    </row>
    <row r="9" customFormat="false" ht="23.85" hidden="false" customHeight="false" outlineLevel="0" collapsed="false">
      <c r="A9" s="16" t="s">
        <v>206</v>
      </c>
    </row>
    <row r="11" customFormat="false" ht="23.85" hidden="false" customHeight="false" outlineLevel="0" collapsed="false">
      <c r="A11" s="16" t="s">
        <v>207</v>
      </c>
    </row>
    <row r="13" customFormat="false" ht="15" hidden="false" customHeight="false" outlineLevel="0" collapsed="false">
      <c r="A13" s="17" t="s">
        <v>208</v>
      </c>
    </row>
    <row r="15" customFormat="false" ht="15" hidden="false" customHeight="true" outlineLevel="0" collapsed="false">
      <c r="A15" s="6" t="s">
        <v>209</v>
      </c>
      <c r="B15" s="6"/>
      <c r="C15" s="6"/>
      <c r="D15" s="6"/>
      <c r="E15" s="6"/>
      <c r="F15" s="6"/>
    </row>
  </sheetData>
  <mergeCells count="3">
    <mergeCell ref="A1:F1"/>
    <mergeCell ref="A3:F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2026-08-30T11:33:19Z</dcterms:created>
  <dc:creator>openpyxl</dc:creator>
  <dc:description/>
  <dc:language>en-US</dc:language>
  <cp:lastModifiedBy/>
  <dcterms:modified xsi:type="dcterms:W3CDTF">2026-08-30T11:33:19Z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